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C67AC3474CF5FFC/Desktop/"/>
    </mc:Choice>
  </mc:AlternateContent>
  <xr:revisionPtr revIDLastSave="103" documentId="8_{DF81CCDA-DF19-4F8B-8FB5-494B55BBF7C9}" xr6:coauthVersionLast="47" xr6:coauthVersionMax="47" xr10:uidLastSave="{CC86BC07-12B7-48D7-BCFB-D509BC4543DD}"/>
  <bookViews>
    <workbookView xWindow="-108" yWindow="-108" windowWidth="23256" windowHeight="12456" xr2:uid="{00000000-000D-0000-FFFF-FFFF00000000}"/>
  </bookViews>
  <sheets>
    <sheet name="Income Tracker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G2" i="1"/>
  <c r="E2" i="1"/>
  <c r="A4" i="1"/>
  <c r="A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" i="1"/>
  <c r="A2" i="2" l="1"/>
  <c r="B2" i="2" s="1"/>
</calcChain>
</file>

<file path=xl/sharedStrings.xml><?xml version="1.0" encoding="utf-8"?>
<sst xmlns="http://schemas.openxmlformats.org/spreadsheetml/2006/main" count="20" uniqueCount="18">
  <si>
    <t>Date</t>
  </si>
  <si>
    <t>Payout Source</t>
  </si>
  <si>
    <t>USD Amount</t>
  </si>
  <si>
    <t>INR Received</t>
  </si>
  <si>
    <t>Platform</t>
  </si>
  <si>
    <t>Bank Confirmed</t>
  </si>
  <si>
    <t>Notes</t>
  </si>
  <si>
    <t>Total INR Receipts</t>
  </si>
  <si>
    <t>Estimated Taxable Income (50%)</t>
  </si>
  <si>
    <t>Fundingpips</t>
  </si>
  <si>
    <t>Binance</t>
  </si>
  <si>
    <t>real conversion  Rate (₹)</t>
  </si>
  <si>
    <t>current conversion rate</t>
  </si>
  <si>
    <t>Balance ON Binance</t>
  </si>
  <si>
    <t>YES</t>
  </si>
  <si>
    <t>but in bank recive amount is 9055 so the conversion rate is 89.65</t>
  </si>
  <si>
    <t xml:space="preserve">current INR in bianace 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</si>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</sst>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79359E-83C8-4C13-ADBB-841817BBBC32}" name="Table1" displayName="Table1" ref="A1:K24" totalsRowShown="0" headerRowDxfId="2">
  <autoFilter ref="A1:K24" xr:uid="{1479359E-83C8-4C13-ADBB-841817BBBC32}"/>
  <sortState xmlns:xlrd2="http://schemas.microsoft.com/office/spreadsheetml/2017/richdata2" ref="A2:K24">
    <sortCondition descending="1" ref="C1:C24"/>
  </sortState>
  <tableColumns count="11">
    <tableColumn id="1" xr3:uid="{8D34E391-0720-4673-B1A2-F552B3F0C3A7}" name="Date"/>
    <tableColumn id="2" xr3:uid="{FDD2FC13-3801-4845-B261-5CB9C3ED32B2}" name="Payout Source"/>
    <tableColumn id="3" xr3:uid="{A77767E4-7445-4493-9868-B3692E4787F6}" name="USD Amount"/>
    <tableColumn id="4" xr3:uid="{0730EE22-8C12-4447-9910-921F80EBB130}" name="real conversion  Rate (₹)"/>
    <tableColumn id="5" xr3:uid="{FC88F934-8BD4-440F-A12B-BF5FF93EB1A6}" name="INR Received">
      <calculatedColumnFormula>C2*D2</calculatedColumnFormula>
    </tableColumn>
    <tableColumn id="12" xr3:uid="{2EF0882D-33CC-4636-AB75-0B8D57B6F3E8}" name="Balance ON Binance"/>
    <tableColumn id="11" xr3:uid="{805901F4-C5CA-4795-952E-FAE831E89459}" name="current conversion rate" dataDxfId="0">
      <calculatedColumnFormula>Table1[[#This Row],[current INR in bianace ]]/Table1[[#This Row],[USD Amount]]</calculatedColumnFormula>
    </tableColumn>
    <tableColumn id="10" xr3:uid="{9C413F6C-F54E-4D3C-A51A-62C21FF32521}" name="current INR in bianace "/>
    <tableColumn id="6" xr3:uid="{AC67FDA4-D1DC-4D8A-A0AB-5D959A51D170}" name="Platform"/>
    <tableColumn id="7" xr3:uid="{4AB9B5D5-CF2C-4E1C-9809-EC1DE633DC71}" name="Bank Confirmed"/>
    <tableColumn id="8" xr3:uid="{7480F952-3B23-4076-90D4-A608C1548F12}" name="Notes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56D13B-2E5A-4EAD-AC25-7F0353357E29}" name="Table2" displayName="Table2" ref="A1:B16" totalsRowShown="0" headerRowDxfId="1">
  <autoFilter ref="A1:B16" xr:uid="{4456D13B-2E5A-4EAD-AC25-7F0353357E29}"/>
  <tableColumns count="2">
    <tableColumn id="1" xr3:uid="{CC6636CF-AF4B-4F05-B503-02AE8654B151}" name="Total INR Receipts"/>
    <tableColumn id="2" xr3:uid="{46D2BAF9-657B-4A13-9A2A-448C97734D31}" name="Estimated Taxable Income (50%)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B6" sqref="B6"/>
    </sheetView>
  </sheetViews>
  <sheetFormatPr defaultRowHeight="14.4" x14ac:dyDescent="0.3"/>
  <cols>
    <col min="1" max="1" width="10.33203125" bestFit="1" customWidth="1"/>
    <col min="2" max="2" width="15.109375" customWidth="1"/>
    <col min="3" max="3" width="13.77734375" customWidth="1"/>
    <col min="4" max="4" width="23.77734375" bestFit="1" customWidth="1"/>
    <col min="5" max="5" width="26.21875" customWidth="1"/>
    <col min="6" max="6" width="25.77734375" customWidth="1"/>
    <col min="7" max="7" width="23" bestFit="1" customWidth="1"/>
    <col min="8" max="8" width="31" customWidth="1"/>
    <col min="9" max="10" width="16.88671875" bestFit="1" customWidth="1"/>
    <col min="11" max="11" width="54.5546875" bestFit="1" customWidth="1"/>
  </cols>
  <sheetData>
    <row r="1" spans="1:11" x14ac:dyDescent="0.3">
      <c r="A1" s="1" t="s">
        <v>0</v>
      </c>
      <c r="B1" s="1" t="s">
        <v>1</v>
      </c>
      <c r="C1" s="3" t="s">
        <v>2</v>
      </c>
      <c r="D1" s="3" t="s">
        <v>11</v>
      </c>
      <c r="E1" s="1" t="s">
        <v>3</v>
      </c>
      <c r="F1" s="3" t="s">
        <v>13</v>
      </c>
      <c r="G1" s="3" t="s">
        <v>12</v>
      </c>
      <c r="H1" s="3" t="s">
        <v>16</v>
      </c>
      <c r="I1" s="1" t="s">
        <v>4</v>
      </c>
      <c r="J1" s="1" t="s">
        <v>5</v>
      </c>
      <c r="K1" s="1" t="s">
        <v>6</v>
      </c>
    </row>
    <row r="2" spans="1:11" x14ac:dyDescent="0.3">
      <c r="A2" s="2">
        <f>DATE(2026,4,1)</f>
        <v>46113</v>
      </c>
      <c r="B2" t="s">
        <v>9</v>
      </c>
      <c r="C2">
        <v>101</v>
      </c>
      <c r="D2">
        <v>90.61</v>
      </c>
      <c r="E2">
        <f>(Table1[[#This Row],[USD Amount]]*Table1[[#This Row],[real conversion  Rate (₹)]])</f>
        <v>9151.61</v>
      </c>
      <c r="F2">
        <v>360.9538</v>
      </c>
      <c r="G2">
        <f>Table1[[#This Row],[current INR in bianace ]]/Table1[[#This Row],[Balance ON Binance]]</f>
        <v>93.390012793881112</v>
      </c>
      <c r="H2">
        <v>33709.480000000003</v>
      </c>
      <c r="I2" t="s">
        <v>10</v>
      </c>
      <c r="J2" t="s">
        <v>14</v>
      </c>
      <c r="K2" t="s">
        <v>15</v>
      </c>
    </row>
    <row r="3" spans="1:11" x14ac:dyDescent="0.3">
      <c r="A3" s="2">
        <f>DATE(2026,4,1)</f>
        <v>46113</v>
      </c>
      <c r="B3" t="s">
        <v>9</v>
      </c>
      <c r="C3">
        <v>360.95</v>
      </c>
      <c r="D3">
        <v>92.95</v>
      </c>
      <c r="E3">
        <f>C3*D3</f>
        <v>33550.302499999998</v>
      </c>
      <c r="G3">
        <v>93.39</v>
      </c>
      <c r="I3" t="s">
        <v>10</v>
      </c>
      <c r="J3" t="s">
        <v>17</v>
      </c>
    </row>
    <row r="4" spans="1:11" x14ac:dyDescent="0.3">
      <c r="A4" s="2">
        <f>DATE(2026,4,14)</f>
        <v>46126</v>
      </c>
      <c r="B4" s="2"/>
      <c r="C4" s="2"/>
      <c r="D4" s="2"/>
      <c r="E4" s="2"/>
      <c r="F4" s="2"/>
      <c r="G4" s="4"/>
      <c r="H4" s="2"/>
      <c r="I4" s="2"/>
      <c r="J4" s="2"/>
      <c r="K4" s="2"/>
    </row>
    <row r="5" spans="1:11" x14ac:dyDescent="0.3">
      <c r="E5">
        <f t="shared" ref="E5:E24" si="0">C5*D5</f>
        <v>0</v>
      </c>
    </row>
    <row r="6" spans="1:11" x14ac:dyDescent="0.3">
      <c r="E6">
        <f t="shared" si="0"/>
        <v>0</v>
      </c>
    </row>
    <row r="7" spans="1:11" x14ac:dyDescent="0.3">
      <c r="E7">
        <f t="shared" si="0"/>
        <v>0</v>
      </c>
    </row>
    <row r="8" spans="1:11" x14ac:dyDescent="0.3">
      <c r="E8">
        <f t="shared" si="0"/>
        <v>0</v>
      </c>
    </row>
    <row r="9" spans="1:11" x14ac:dyDescent="0.3">
      <c r="E9">
        <f t="shared" si="0"/>
        <v>0</v>
      </c>
    </row>
    <row r="10" spans="1:11" x14ac:dyDescent="0.3">
      <c r="E10">
        <f t="shared" si="0"/>
        <v>0</v>
      </c>
    </row>
    <row r="11" spans="1:11" x14ac:dyDescent="0.3">
      <c r="E11">
        <f t="shared" si="0"/>
        <v>0</v>
      </c>
    </row>
    <row r="12" spans="1:11" x14ac:dyDescent="0.3">
      <c r="E12">
        <f t="shared" si="0"/>
        <v>0</v>
      </c>
    </row>
    <row r="13" spans="1:11" x14ac:dyDescent="0.3">
      <c r="E13">
        <f t="shared" si="0"/>
        <v>0</v>
      </c>
    </row>
    <row r="14" spans="1:11" x14ac:dyDescent="0.3">
      <c r="E14">
        <f t="shared" si="0"/>
        <v>0</v>
      </c>
    </row>
    <row r="15" spans="1:11" x14ac:dyDescent="0.3">
      <c r="E15">
        <f t="shared" si="0"/>
        <v>0</v>
      </c>
    </row>
    <row r="16" spans="1:11" x14ac:dyDescent="0.3">
      <c r="E16">
        <f t="shared" si="0"/>
        <v>0</v>
      </c>
    </row>
    <row r="17" spans="5:5" x14ac:dyDescent="0.3">
      <c r="E17">
        <f t="shared" si="0"/>
        <v>0</v>
      </c>
    </row>
    <row r="18" spans="5:5" x14ac:dyDescent="0.3">
      <c r="E18">
        <f t="shared" si="0"/>
        <v>0</v>
      </c>
    </row>
    <row r="19" spans="5:5" x14ac:dyDescent="0.3">
      <c r="E19">
        <f t="shared" si="0"/>
        <v>0</v>
      </c>
    </row>
    <row r="20" spans="5:5" x14ac:dyDescent="0.3">
      <c r="E20">
        <f t="shared" si="0"/>
        <v>0</v>
      </c>
    </row>
    <row r="21" spans="5:5" x14ac:dyDescent="0.3">
      <c r="E21">
        <f t="shared" si="0"/>
        <v>0</v>
      </c>
    </row>
    <row r="22" spans="5:5" x14ac:dyDescent="0.3">
      <c r="E22">
        <f t="shared" si="0"/>
        <v>0</v>
      </c>
    </row>
    <row r="23" spans="5:5" x14ac:dyDescent="0.3">
      <c r="E23">
        <f t="shared" si="0"/>
        <v>0</v>
      </c>
    </row>
    <row r="24" spans="5:5" x14ac:dyDescent="0.3">
      <c r="E24">
        <f t="shared" si="0"/>
        <v>0</v>
      </c>
    </row>
    <row r="25" spans="5:5" x14ac:dyDescent="0.3">
      <c r="E25">
        <f t="shared" ref="E25:E33" si="1">C25*D25</f>
        <v>0</v>
      </c>
    </row>
    <row r="26" spans="5:5" x14ac:dyDescent="0.3">
      <c r="E26">
        <f t="shared" si="1"/>
        <v>0</v>
      </c>
    </row>
    <row r="27" spans="5:5" x14ac:dyDescent="0.3">
      <c r="E27">
        <f t="shared" si="1"/>
        <v>0</v>
      </c>
    </row>
    <row r="28" spans="5:5" x14ac:dyDescent="0.3">
      <c r="E28">
        <f t="shared" si="1"/>
        <v>0</v>
      </c>
    </row>
    <row r="29" spans="5:5" x14ac:dyDescent="0.3">
      <c r="E29">
        <f t="shared" si="1"/>
        <v>0</v>
      </c>
    </row>
    <row r="30" spans="5:5" x14ac:dyDescent="0.3">
      <c r="E30">
        <f t="shared" si="1"/>
        <v>0</v>
      </c>
    </row>
    <row r="31" spans="5:5" x14ac:dyDescent="0.3">
      <c r="E31">
        <f t="shared" si="1"/>
        <v>0</v>
      </c>
    </row>
    <row r="32" spans="5:5" x14ac:dyDescent="0.3">
      <c r="E32">
        <f t="shared" si="1"/>
        <v>0</v>
      </c>
    </row>
    <row r="33" spans="5:5" x14ac:dyDescent="0.3">
      <c r="E33">
        <f t="shared" si="1"/>
        <v>0</v>
      </c>
    </row>
    <row r="34" spans="5:5" x14ac:dyDescent="0.3">
      <c r="E34">
        <f t="shared" ref="E34:E65" si="2">C34*D34</f>
        <v>0</v>
      </c>
    </row>
    <row r="35" spans="5:5" x14ac:dyDescent="0.3">
      <c r="E35">
        <f t="shared" si="2"/>
        <v>0</v>
      </c>
    </row>
    <row r="36" spans="5:5" x14ac:dyDescent="0.3">
      <c r="E36">
        <f t="shared" si="2"/>
        <v>0</v>
      </c>
    </row>
    <row r="37" spans="5:5" x14ac:dyDescent="0.3">
      <c r="E37">
        <f t="shared" si="2"/>
        <v>0</v>
      </c>
    </row>
    <row r="38" spans="5:5" x14ac:dyDescent="0.3">
      <c r="E38">
        <f t="shared" si="2"/>
        <v>0</v>
      </c>
    </row>
    <row r="39" spans="5:5" x14ac:dyDescent="0.3">
      <c r="E39">
        <f t="shared" si="2"/>
        <v>0</v>
      </c>
    </row>
    <row r="40" spans="5:5" x14ac:dyDescent="0.3">
      <c r="E40">
        <f t="shared" si="2"/>
        <v>0</v>
      </c>
    </row>
    <row r="41" spans="5:5" x14ac:dyDescent="0.3">
      <c r="E41">
        <f t="shared" si="2"/>
        <v>0</v>
      </c>
    </row>
    <row r="42" spans="5:5" x14ac:dyDescent="0.3">
      <c r="E42">
        <f t="shared" si="2"/>
        <v>0</v>
      </c>
    </row>
    <row r="43" spans="5:5" x14ac:dyDescent="0.3">
      <c r="E43">
        <f t="shared" si="2"/>
        <v>0</v>
      </c>
    </row>
    <row r="44" spans="5:5" x14ac:dyDescent="0.3">
      <c r="E44">
        <f t="shared" si="2"/>
        <v>0</v>
      </c>
    </row>
    <row r="45" spans="5:5" x14ac:dyDescent="0.3">
      <c r="E45">
        <f t="shared" si="2"/>
        <v>0</v>
      </c>
    </row>
    <row r="46" spans="5:5" x14ac:dyDescent="0.3">
      <c r="E46">
        <f t="shared" si="2"/>
        <v>0</v>
      </c>
    </row>
    <row r="47" spans="5:5" x14ac:dyDescent="0.3">
      <c r="E47">
        <f t="shared" si="2"/>
        <v>0</v>
      </c>
    </row>
    <row r="48" spans="5:5" x14ac:dyDescent="0.3">
      <c r="E48">
        <f t="shared" si="2"/>
        <v>0</v>
      </c>
    </row>
    <row r="49" spans="5:5" x14ac:dyDescent="0.3">
      <c r="E49">
        <f t="shared" si="2"/>
        <v>0</v>
      </c>
    </row>
    <row r="50" spans="5:5" x14ac:dyDescent="0.3">
      <c r="E50">
        <f t="shared" si="2"/>
        <v>0</v>
      </c>
    </row>
    <row r="51" spans="5:5" x14ac:dyDescent="0.3">
      <c r="E51">
        <f t="shared" si="2"/>
        <v>0</v>
      </c>
    </row>
    <row r="52" spans="5:5" x14ac:dyDescent="0.3">
      <c r="E52">
        <f t="shared" si="2"/>
        <v>0</v>
      </c>
    </row>
    <row r="53" spans="5:5" x14ac:dyDescent="0.3">
      <c r="E53">
        <f t="shared" si="2"/>
        <v>0</v>
      </c>
    </row>
    <row r="54" spans="5:5" x14ac:dyDescent="0.3">
      <c r="E54">
        <f t="shared" si="2"/>
        <v>0</v>
      </c>
    </row>
    <row r="55" spans="5:5" x14ac:dyDescent="0.3">
      <c r="E55">
        <f t="shared" si="2"/>
        <v>0</v>
      </c>
    </row>
    <row r="56" spans="5:5" x14ac:dyDescent="0.3">
      <c r="E56">
        <f t="shared" si="2"/>
        <v>0</v>
      </c>
    </row>
    <row r="57" spans="5:5" x14ac:dyDescent="0.3">
      <c r="E57">
        <f t="shared" si="2"/>
        <v>0</v>
      </c>
    </row>
    <row r="58" spans="5:5" x14ac:dyDescent="0.3">
      <c r="E58">
        <f t="shared" si="2"/>
        <v>0</v>
      </c>
    </row>
    <row r="59" spans="5:5" x14ac:dyDescent="0.3">
      <c r="E59">
        <f t="shared" si="2"/>
        <v>0</v>
      </c>
    </row>
    <row r="60" spans="5:5" x14ac:dyDescent="0.3">
      <c r="E60">
        <f t="shared" si="2"/>
        <v>0</v>
      </c>
    </row>
    <row r="61" spans="5:5" x14ac:dyDescent="0.3">
      <c r="E61">
        <f t="shared" si="2"/>
        <v>0</v>
      </c>
    </row>
    <row r="62" spans="5:5" x14ac:dyDescent="0.3">
      <c r="E62">
        <f t="shared" si="2"/>
        <v>0</v>
      </c>
    </row>
    <row r="63" spans="5:5" x14ac:dyDescent="0.3">
      <c r="E63">
        <f t="shared" si="2"/>
        <v>0</v>
      </c>
    </row>
    <row r="64" spans="5:5" x14ac:dyDescent="0.3">
      <c r="E64">
        <f t="shared" si="2"/>
        <v>0</v>
      </c>
    </row>
    <row r="65" spans="5:5" x14ac:dyDescent="0.3">
      <c r="E65">
        <f t="shared" si="2"/>
        <v>0</v>
      </c>
    </row>
    <row r="66" spans="5:5" x14ac:dyDescent="0.3">
      <c r="E66">
        <f t="shared" ref="E66:E97" si="3">C66*D66</f>
        <v>0</v>
      </c>
    </row>
    <row r="67" spans="5:5" x14ac:dyDescent="0.3">
      <c r="E67">
        <f t="shared" si="3"/>
        <v>0</v>
      </c>
    </row>
    <row r="68" spans="5:5" x14ac:dyDescent="0.3">
      <c r="E68">
        <f t="shared" si="3"/>
        <v>0</v>
      </c>
    </row>
    <row r="69" spans="5:5" x14ac:dyDescent="0.3">
      <c r="E69">
        <f t="shared" si="3"/>
        <v>0</v>
      </c>
    </row>
    <row r="70" spans="5:5" x14ac:dyDescent="0.3">
      <c r="E70">
        <f t="shared" si="3"/>
        <v>0</v>
      </c>
    </row>
    <row r="71" spans="5:5" x14ac:dyDescent="0.3">
      <c r="E71">
        <f t="shared" si="3"/>
        <v>0</v>
      </c>
    </row>
    <row r="72" spans="5:5" x14ac:dyDescent="0.3">
      <c r="E72">
        <f t="shared" si="3"/>
        <v>0</v>
      </c>
    </row>
    <row r="73" spans="5:5" x14ac:dyDescent="0.3">
      <c r="E73">
        <f t="shared" si="3"/>
        <v>0</v>
      </c>
    </row>
    <row r="74" spans="5:5" x14ac:dyDescent="0.3">
      <c r="E74">
        <f t="shared" si="3"/>
        <v>0</v>
      </c>
    </row>
    <row r="75" spans="5:5" x14ac:dyDescent="0.3">
      <c r="E75">
        <f t="shared" si="3"/>
        <v>0</v>
      </c>
    </row>
    <row r="76" spans="5:5" x14ac:dyDescent="0.3">
      <c r="E76">
        <f t="shared" si="3"/>
        <v>0</v>
      </c>
    </row>
    <row r="77" spans="5:5" x14ac:dyDescent="0.3">
      <c r="E77">
        <f t="shared" si="3"/>
        <v>0</v>
      </c>
    </row>
    <row r="78" spans="5:5" x14ac:dyDescent="0.3">
      <c r="E78">
        <f t="shared" si="3"/>
        <v>0</v>
      </c>
    </row>
    <row r="79" spans="5:5" x14ac:dyDescent="0.3">
      <c r="E79">
        <f t="shared" si="3"/>
        <v>0</v>
      </c>
    </row>
    <row r="80" spans="5:5" x14ac:dyDescent="0.3">
      <c r="E80">
        <f t="shared" si="3"/>
        <v>0</v>
      </c>
    </row>
    <row r="81" spans="5:5" x14ac:dyDescent="0.3">
      <c r="E81">
        <f t="shared" si="3"/>
        <v>0</v>
      </c>
    </row>
    <row r="82" spans="5:5" x14ac:dyDescent="0.3">
      <c r="E82">
        <f t="shared" si="3"/>
        <v>0</v>
      </c>
    </row>
    <row r="83" spans="5:5" x14ac:dyDescent="0.3">
      <c r="E83">
        <f t="shared" si="3"/>
        <v>0</v>
      </c>
    </row>
    <row r="84" spans="5:5" x14ac:dyDescent="0.3">
      <c r="E84">
        <f t="shared" si="3"/>
        <v>0</v>
      </c>
    </row>
    <row r="85" spans="5:5" x14ac:dyDescent="0.3">
      <c r="E85">
        <f t="shared" si="3"/>
        <v>0</v>
      </c>
    </row>
    <row r="86" spans="5:5" x14ac:dyDescent="0.3">
      <c r="E86">
        <f t="shared" si="3"/>
        <v>0</v>
      </c>
    </row>
    <row r="87" spans="5:5" x14ac:dyDescent="0.3">
      <c r="E87">
        <f t="shared" si="3"/>
        <v>0</v>
      </c>
    </row>
    <row r="88" spans="5:5" x14ac:dyDescent="0.3">
      <c r="E88">
        <f t="shared" si="3"/>
        <v>0</v>
      </c>
    </row>
    <row r="89" spans="5:5" x14ac:dyDescent="0.3">
      <c r="E89">
        <f t="shared" si="3"/>
        <v>0</v>
      </c>
    </row>
    <row r="90" spans="5:5" x14ac:dyDescent="0.3">
      <c r="E90">
        <f t="shared" si="3"/>
        <v>0</v>
      </c>
    </row>
    <row r="91" spans="5:5" x14ac:dyDescent="0.3">
      <c r="E91">
        <f t="shared" si="3"/>
        <v>0</v>
      </c>
    </row>
    <row r="92" spans="5:5" x14ac:dyDescent="0.3">
      <c r="E92">
        <f t="shared" si="3"/>
        <v>0</v>
      </c>
    </row>
    <row r="93" spans="5:5" x14ac:dyDescent="0.3">
      <c r="E93">
        <f t="shared" si="3"/>
        <v>0</v>
      </c>
    </row>
    <row r="94" spans="5:5" x14ac:dyDescent="0.3">
      <c r="E94">
        <f t="shared" si="3"/>
        <v>0</v>
      </c>
    </row>
    <row r="95" spans="5:5" x14ac:dyDescent="0.3">
      <c r="E95">
        <f t="shared" si="3"/>
        <v>0</v>
      </c>
    </row>
    <row r="96" spans="5:5" x14ac:dyDescent="0.3">
      <c r="E96">
        <f t="shared" si="3"/>
        <v>0</v>
      </c>
    </row>
    <row r="97" spans="5:5" x14ac:dyDescent="0.3">
      <c r="E97">
        <f t="shared" si="3"/>
        <v>0</v>
      </c>
    </row>
    <row r="98" spans="5:5" x14ac:dyDescent="0.3">
      <c r="E98">
        <f t="shared" ref="E98:E101" si="4">C98*D98</f>
        <v>0</v>
      </c>
    </row>
    <row r="99" spans="5:5" x14ac:dyDescent="0.3">
      <c r="E99">
        <f t="shared" si="4"/>
        <v>0</v>
      </c>
    </row>
    <row r="100" spans="5:5" x14ac:dyDescent="0.3">
      <c r="E100">
        <f t="shared" si="4"/>
        <v>0</v>
      </c>
    </row>
    <row r="101" spans="5:5" x14ac:dyDescent="0.3">
      <c r="E101">
        <f t="shared" si="4"/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16" sqref="B16"/>
    </sheetView>
  </sheetViews>
  <sheetFormatPr defaultRowHeight="14.4" x14ac:dyDescent="0.3"/>
  <cols>
    <col min="1" max="1" width="18" customWidth="1"/>
    <col min="2" max="2" width="30.109375" customWidth="1"/>
  </cols>
  <sheetData>
    <row r="1" spans="1:2" x14ac:dyDescent="0.3">
      <c r="A1" s="1" t="s">
        <v>7</v>
      </c>
      <c r="B1" s="1" t="s">
        <v>8</v>
      </c>
    </row>
    <row r="2" spans="1:2" x14ac:dyDescent="0.3">
      <c r="A2">
        <f>SUM('Income Tracker'!E2:E101)</f>
        <v>42701.912499999999</v>
      </c>
      <c r="B2">
        <f>A2*0.5</f>
        <v>21350.956249999999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 Tracker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soumen bhandari</cp:lastModifiedBy>
  <dcterms:created xsi:type="dcterms:W3CDTF">2026-03-27T18:11:50Z</dcterms:created>
  <dcterms:modified xsi:type="dcterms:W3CDTF">2026-04-01T15:49:51Z</dcterms:modified>
</cp:coreProperties>
</file>